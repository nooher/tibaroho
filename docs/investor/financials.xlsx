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se of fund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Cap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E44"/>
      <sz val="14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3E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TABHOS — 5-Year Financial Assumptions</t>
        </is>
      </c>
    </row>
    <row r="3">
      <c r="A3" s="2" t="inlineStr">
        <is>
          <t>Item</t>
        </is>
      </c>
      <c r="B3" s="2" t="inlineStr">
        <is>
          <t>Y1</t>
        </is>
      </c>
      <c r="C3" s="2" t="inlineStr">
        <is>
          <t>Y2</t>
        </is>
      </c>
      <c r="D3" s="2" t="inlineStr">
        <is>
          <t>Y3</t>
        </is>
      </c>
      <c r="E3" s="2" t="inlineStr">
        <is>
          <t>Y4</t>
        </is>
      </c>
      <c r="F3" s="2" t="inlineStr">
        <is>
          <t>Y5</t>
        </is>
      </c>
    </row>
    <row r="4">
      <c r="A4" s="3" t="inlineStr">
        <is>
          <t>Revenue (USD)</t>
        </is>
      </c>
      <c r="B4" s="4" t="n">
        <v>80000</v>
      </c>
      <c r="C4" s="4" t="n">
        <v>200000</v>
      </c>
      <c r="D4" s="4" t="n">
        <v>440000</v>
      </c>
      <c r="E4" s="4" t="n">
        <v>800000</v>
      </c>
      <c r="F4" s="4" t="n">
        <v>3200000</v>
      </c>
    </row>
    <row r="5">
      <c r="A5" s="3" t="inlineStr">
        <is>
          <t>Gross margin %</t>
        </is>
      </c>
      <c r="B5" s="4" t="n">
        <v>60</v>
      </c>
      <c r="C5" s="4" t="n">
        <v>65</v>
      </c>
      <c r="D5" s="4" t="n">
        <v>70</v>
      </c>
      <c r="E5" s="4" t="n">
        <v>72</v>
      </c>
      <c r="F5" s="4" t="n">
        <v>75</v>
      </c>
    </row>
    <row r="6">
      <c r="A6" s="3" t="inlineStr">
        <is>
          <t>Headcount</t>
        </is>
      </c>
      <c r="B6" s="4" t="n">
        <v>5</v>
      </c>
      <c r="C6" s="4" t="n">
        <v>8</v>
      </c>
      <c r="D6" s="4" t="n">
        <v>12</v>
      </c>
      <c r="E6" s="4" t="n">
        <v>17</v>
      </c>
      <c r="F6" s="4" t="n">
        <v>22</v>
      </c>
    </row>
    <row r="7">
      <c r="A7" s="3" t="inlineStr">
        <is>
          <t>Cost per head USD/yr (loaded)</t>
        </is>
      </c>
      <c r="B7" s="4" t="n">
        <v>28000</v>
      </c>
      <c r="C7" s="4" t="n">
        <v>30000</v>
      </c>
      <c r="D7" s="4" t="n">
        <v>32000</v>
      </c>
      <c r="E7" s="4" t="n">
        <v>34000</v>
      </c>
      <c r="F7" s="4" t="n">
        <v>36000</v>
      </c>
    </row>
    <row r="8">
      <c r="A8" s="3" t="inlineStr">
        <is>
          <t>Total payroll USD</t>
        </is>
      </c>
      <c r="B8" s="4">
        <f>B6*B7</f>
        <v/>
      </c>
      <c r="C8" s="4">
        <f>C6*C7</f>
        <v/>
      </c>
      <c r="D8" s="4">
        <f>D6*D7</f>
        <v/>
      </c>
      <c r="E8" s="4">
        <f>E6*E7</f>
        <v/>
      </c>
      <c r="F8" s="4">
        <f>F6*F7</f>
        <v/>
      </c>
    </row>
    <row r="9">
      <c r="A9" s="3" t="inlineStr">
        <is>
          <t>Marketing + ops USD</t>
        </is>
      </c>
      <c r="B9" s="4" t="n">
        <v>60000</v>
      </c>
      <c r="C9" s="4" t="n">
        <v>110000</v>
      </c>
      <c r="D9" s="4" t="n">
        <v>180000</v>
      </c>
      <c r="E9" s="4" t="n">
        <v>260000</v>
      </c>
      <c r="F9" s="4" t="n">
        <v>400000</v>
      </c>
    </row>
    <row r="10">
      <c r="A10" s="3" t="inlineStr">
        <is>
          <t>Infrastructure USD</t>
        </is>
      </c>
      <c r="B10" s="4" t="n">
        <v>24000</v>
      </c>
      <c r="C10" s="4" t="n">
        <v>36000</v>
      </c>
      <c r="D10" s="4" t="n">
        <v>52000</v>
      </c>
      <c r="E10" s="4" t="n">
        <v>75000</v>
      </c>
      <c r="F10" s="4" t="n">
        <v>110000</v>
      </c>
    </row>
    <row r="11">
      <c r="A11" s="3" t="inlineStr">
        <is>
          <t>Total cost USD</t>
        </is>
      </c>
      <c r="B11" s="4">
        <f>B8+B9+B10</f>
        <v/>
      </c>
      <c r="C11" s="4">
        <f>C8+C9+C10</f>
        <v/>
      </c>
      <c r="D11" s="4">
        <f>D8+D9+D10</f>
        <v/>
      </c>
      <c r="E11" s="4">
        <f>E8+E9+E10</f>
        <v/>
      </c>
      <c r="F11" s="4">
        <f>F8+F9+F10</f>
        <v/>
      </c>
    </row>
    <row r="12">
      <c r="A12" s="3" t="inlineStr">
        <is>
          <t>Net USD (rev − cost)</t>
        </is>
      </c>
      <c r="B12" s="4">
        <f>B4-B11</f>
        <v/>
      </c>
      <c r="C12" s="4">
        <f>C4-C11</f>
        <v/>
      </c>
      <c r="D12" s="4">
        <f>D4-D11</f>
        <v/>
      </c>
      <c r="E12" s="4">
        <f>E4-E11</f>
        <v/>
      </c>
      <c r="F12" s="4">
        <f>F4-F11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</cols>
  <sheetData>
    <row r="1">
      <c r="A1" s="5" t="inlineStr">
        <is>
          <t>TABHOS — Use of Funds (USD 800,000 over 18 months)</t>
        </is>
      </c>
    </row>
    <row r="2">
      <c r="A2" s="6" t="inlineStr">
        <is>
          <t>Category</t>
        </is>
      </c>
      <c r="B2" s="6" t="inlineStr">
        <is>
          <t>USD</t>
        </is>
      </c>
      <c r="C2" s="6" t="inlineStr">
        <is>
          <t>%</t>
        </is>
      </c>
    </row>
    <row r="3">
      <c r="A3" t="inlineStr">
        <is>
          <t>Engineering hires (4 FTE × 18mo)</t>
        </is>
      </c>
      <c r="B3" s="7" t="n">
        <v>280000</v>
      </c>
      <c r="C3" s="8" t="n">
        <v>0.35</v>
      </c>
    </row>
    <row r="4">
      <c r="A4" t="inlineStr">
        <is>
          <t>MoH MH + MCT MoU process</t>
        </is>
      </c>
      <c r="B4" s="7" t="n">
        <v>120000</v>
      </c>
      <c r="C4" s="8" t="n">
        <v>0.15</v>
      </c>
    </row>
    <row r="5">
      <c r="A5" t="inlineStr">
        <is>
          <t>3 universities + 2 hospitals pilot</t>
        </is>
      </c>
      <c r="B5" s="7" t="n">
        <v>160000</v>
      </c>
      <c r="C5" s="8" t="n">
        <v>0.2</v>
      </c>
    </row>
    <row r="6">
      <c r="A6" t="inlineStr">
        <is>
          <t>Clinical-safety review (suicidality + reporting flows)</t>
        </is>
      </c>
      <c r="B6" s="7" t="n">
        <v>80000</v>
      </c>
      <c r="C6" s="8" t="n">
        <v>0.1</v>
      </c>
    </row>
    <row r="7">
      <c r="A7" t="inlineStr">
        <is>
          <t>Lay-counsellor training programme</t>
        </is>
      </c>
      <c r="B7" s="7" t="n">
        <v>80000</v>
      </c>
      <c r="C7" s="8" t="n">
        <v>0.1</v>
      </c>
    </row>
    <row r="8">
      <c r="A8" t="inlineStr">
        <is>
          <t>Working capital</t>
        </is>
      </c>
      <c r="B8" s="7" t="n">
        <v>80000</v>
      </c>
      <c r="C8" s="8" t="n">
        <v>0.1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5" t="inlineStr">
        <is>
          <t>TABHOS — 18-month milestones</t>
        </is>
      </c>
    </row>
    <row r="2">
      <c r="A2" s="6" t="inlineStr">
        <is>
          <t>Month</t>
        </is>
      </c>
      <c r="B2" s="6" t="inlineStr">
        <is>
          <t>Deliverable</t>
        </is>
      </c>
    </row>
    <row r="3">
      <c r="A3" t="inlineStr">
        <is>
          <t>M-6</t>
        </is>
      </c>
      <c r="B3" t="inlineStr">
        <is>
          <t>MoU signed: MoH MH unit + MCT</t>
        </is>
      </c>
    </row>
    <row r="4">
      <c r="A4" t="inlineStr">
        <is>
          <t>M-9</t>
        </is>
      </c>
      <c r="B4" t="inlineStr">
        <is>
          <t>Pilot live at 3 universities (student counselling)</t>
        </is>
      </c>
    </row>
    <row r="5">
      <c r="A5" t="inlineStr">
        <is>
          <t>M-12</t>
        </is>
      </c>
      <c r="B5" t="inlineStr">
        <is>
          <t>Pilot live at 2 hospital outpatient psychiatry units</t>
        </is>
      </c>
    </row>
    <row r="6">
      <c r="A6" t="inlineStr">
        <is>
          <t>M-15</t>
        </is>
      </c>
      <c r="B6" t="inlineStr">
        <is>
          <t>Clinical-safety review passed</t>
        </is>
      </c>
    </row>
    <row r="7">
      <c r="A7" t="inlineStr">
        <is>
          <t>M-18</t>
        </is>
      </c>
      <c r="B7" t="inlineStr">
        <is>
          <t>Series A pitch — donor + impact-investor blended round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</cols>
  <sheetData>
    <row r="1">
      <c r="A1" s="5" t="inlineStr">
        <is>
          <t>TABHOS — Cap-table snapshot (pre-raise)</t>
        </is>
      </c>
    </row>
    <row r="2">
      <c r="A2" s="6" t="inlineStr">
        <is>
          <t>Holder</t>
        </is>
      </c>
      <c r="B2" s="6" t="inlineStr">
        <is>
          <t>Shares</t>
        </is>
      </c>
      <c r="C2" s="6" t="inlineStr">
        <is>
          <t>%</t>
        </is>
      </c>
    </row>
    <row r="3">
      <c r="A3" t="inlineStr">
        <is>
          <t>Dr. Ally A. Nooher (founder)</t>
        </is>
      </c>
      <c r="B3" s="7" t="n">
        <v>9000000</v>
      </c>
      <c r="C3" s="8" t="n">
        <v>0.9</v>
      </c>
    </row>
    <row r="4">
      <c r="A4" t="inlineStr">
        <is>
          <t>ESOP pool (reserved)</t>
        </is>
      </c>
      <c r="B4" s="7" t="n">
        <v>1000000</v>
      </c>
      <c r="C4" s="8" t="n">
        <v>0.1</v>
      </c>
    </row>
    <row r="5">
      <c r="A5" t="inlineStr">
        <is>
          <t>Outside investors (pre-raise)</t>
        </is>
      </c>
      <c r="B5" s="7" t="n">
        <v>0</v>
      </c>
      <c r="C5" s="8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2026-06-22T14:41:53Z</dcterms:created>
  <dcterms:modified xmlns:dcterms="http://purl.org/dc/terms/" xmlns:xsi="http://www.w3.org/2001/XMLSchema-instance" xsi:type="dcterms:W3CDTF">2026-06-22T14:41:53Z</dcterms:modified>
</cp:coreProperties>
</file>